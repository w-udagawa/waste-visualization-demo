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3009\Claudeworks\waste-visualization-demo\"/>
    </mc:Choice>
  </mc:AlternateContent>
  <xr:revisionPtr revIDLastSave="0" documentId="13_ncr:1_{F83BD041-C053-4424-B5AC-028FC82560BE}" xr6:coauthVersionLast="47" xr6:coauthVersionMax="47" xr10:uidLastSave="{00000000-0000-0000-0000-000000000000}"/>
  <bookViews>
    <workbookView xWindow="28680" yWindow="-120" windowWidth="29040" windowHeight="15720" xr2:uid="{E1B1289A-AF69-4383-BBCD-FBC6729392DA}"/>
  </bookViews>
  <sheets>
    <sheet name="2024年度全社廃棄物集計データ" sheetId="1" r:id="rId1"/>
    <sheet name="2024年度建築廃棄物集計データ" sheetId="3" r:id="rId2"/>
    <sheet name="2024年度土木廃棄物集計データ 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" l="1"/>
  <c r="E11" i="3"/>
  <c r="E4" i="4"/>
  <c r="E5" i="4"/>
  <c r="E6" i="4"/>
  <c r="E9" i="4"/>
  <c r="E10" i="4"/>
  <c r="E11" i="4"/>
  <c r="E10" i="1"/>
  <c r="E11" i="1"/>
  <c r="E2" i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D11" i="3"/>
  <c r="D3" i="4"/>
  <c r="E3" i="4" s="1"/>
  <c r="D4" i="4"/>
  <c r="D5" i="4"/>
  <c r="D6" i="4"/>
  <c r="D7" i="4"/>
  <c r="E7" i="4" s="1"/>
  <c r="D8" i="4"/>
  <c r="E8" i="4" s="1"/>
  <c r="D9" i="4"/>
  <c r="D10" i="4"/>
  <c r="D11" i="4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D11" i="1"/>
  <c r="D2" i="3"/>
  <c r="E2" i="3" s="1"/>
  <c r="D2" i="4"/>
  <c r="E2" i="4" s="1"/>
  <c r="D2" i="1"/>
</calcChain>
</file>

<file path=xl/sharedStrings.xml><?xml version="1.0" encoding="utf-8"?>
<sst xmlns="http://schemas.openxmlformats.org/spreadsheetml/2006/main" count="45" uniqueCount="11">
  <si>
    <t>廃棄物種類</t>
    <rPh sb="0" eb="3">
      <t>ハイキブツ</t>
    </rPh>
    <rPh sb="3" eb="5">
      <t>シュルイ</t>
    </rPh>
    <phoneticPr fontId="1"/>
  </si>
  <si>
    <t>再資源化量（m3 or kg）</t>
    <rPh sb="0" eb="5">
      <t>サイシゲンカリョウ</t>
    </rPh>
    <phoneticPr fontId="1"/>
  </si>
  <si>
    <t>最終処分量（m3 or kg）</t>
    <rPh sb="0" eb="5">
      <t>サイシュウショブンリョウ</t>
    </rPh>
    <phoneticPr fontId="1"/>
  </si>
  <si>
    <t>コンクリートガラ</t>
    <phoneticPr fontId="1"/>
  </si>
  <si>
    <t>木くず</t>
    <rPh sb="0" eb="1">
      <t>キ</t>
    </rPh>
    <phoneticPr fontId="1"/>
  </si>
  <si>
    <t>金属くず</t>
    <rPh sb="0" eb="2">
      <t>キンゾク</t>
    </rPh>
    <phoneticPr fontId="1"/>
  </si>
  <si>
    <t>プラスチック</t>
    <phoneticPr fontId="1"/>
  </si>
  <si>
    <t>混合廃棄物</t>
    <rPh sb="0" eb="5">
      <t>コンゴウハイキブツ</t>
    </rPh>
    <phoneticPr fontId="1"/>
  </si>
  <si>
    <t>XXXX</t>
    <phoneticPr fontId="1"/>
  </si>
  <si>
    <t>再資源化率（%）</t>
    <rPh sb="0" eb="5">
      <t>サイシゲンカリツ</t>
    </rPh>
    <phoneticPr fontId="1"/>
  </si>
  <si>
    <t>分別済み総排出量（m3 or kg）</t>
    <rPh sb="0" eb="3">
      <t>ブンベツズ</t>
    </rPh>
    <rPh sb="4" eb="8">
      <t>ソウハイシュツリョウ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</si>
</sst>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12</xdr:row>
      <xdr:rowOff>154305</xdr:rowOff>
    </xdr:from>
    <xdr:to>
      <xdr:col>3</xdr:col>
      <xdr:colOff>1906905</xdr:colOff>
      <xdr:row>15</xdr:row>
      <xdr:rowOff>73533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C2E8F924-22C0-2BC4-C88D-3A6EBFF4A530}"/>
            </a:ext>
          </a:extLst>
        </xdr:cNvPr>
        <xdr:cNvSpPr/>
      </xdr:nvSpPr>
      <xdr:spPr>
        <a:xfrm>
          <a:off x="4752975" y="2897505"/>
          <a:ext cx="1878330" cy="605028"/>
        </a:xfrm>
        <a:prstGeom prst="wedgeRectCallout">
          <a:avLst>
            <a:gd name="adj1" fmla="val -75927"/>
            <a:gd name="adj2" fmla="val -12484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セルの表示形式を</a:t>
          </a:r>
          <a:r>
            <a:rPr kumimoji="1" lang="en-US" altLang="ja-JP" sz="1100"/>
            <a:t>%</a:t>
          </a:r>
          <a:r>
            <a:rPr kumimoji="1" lang="ja-JP" altLang="en-US" sz="1100"/>
            <a:t>にしています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19CFE-69BB-4E9D-99B7-3956F98CDE41}">
  <dimension ref="A1:E11"/>
  <sheetViews>
    <sheetView tabSelected="1" workbookViewId="0">
      <selection activeCell="G26" sqref="G26"/>
    </sheetView>
  </sheetViews>
  <sheetFormatPr defaultRowHeight="18" x14ac:dyDescent="0.45"/>
  <cols>
    <col min="1" max="1" width="22.296875" customWidth="1"/>
    <col min="2" max="3" width="19.8984375" customWidth="1"/>
    <col min="4" max="4" width="26.19921875" customWidth="1"/>
    <col min="5" max="5" width="23.69921875" customWidth="1"/>
  </cols>
  <sheetData>
    <row r="1" spans="1:5" x14ac:dyDescent="0.45">
      <c r="A1" t="s">
        <v>0</v>
      </c>
      <c r="B1" t="s">
        <v>10</v>
      </c>
      <c r="C1" t="s">
        <v>9</v>
      </c>
      <c r="D1" t="s">
        <v>1</v>
      </c>
      <c r="E1" t="s">
        <v>2</v>
      </c>
    </row>
    <row r="2" spans="1:5" x14ac:dyDescent="0.45">
      <c r="A2" t="s">
        <v>3</v>
      </c>
      <c r="B2">
        <v>10000</v>
      </c>
      <c r="C2" s="1">
        <v>0.9</v>
      </c>
      <c r="D2">
        <f>B2*C2</f>
        <v>9000</v>
      </c>
      <c r="E2">
        <f>B2-D2</f>
        <v>1000</v>
      </c>
    </row>
    <row r="3" spans="1:5" x14ac:dyDescent="0.45">
      <c r="A3" t="s">
        <v>4</v>
      </c>
      <c r="C3" s="1">
        <v>0.9</v>
      </c>
      <c r="D3">
        <f t="shared" ref="D3:D11" si="0">B3*C3</f>
        <v>0</v>
      </c>
      <c r="E3">
        <f t="shared" ref="E3:E11" si="1">B3-D3</f>
        <v>0</v>
      </c>
    </row>
    <row r="4" spans="1:5" x14ac:dyDescent="0.45">
      <c r="A4" t="s">
        <v>5</v>
      </c>
      <c r="C4" s="1">
        <v>0.9</v>
      </c>
      <c r="D4">
        <f t="shared" si="0"/>
        <v>0</v>
      </c>
      <c r="E4">
        <f t="shared" si="1"/>
        <v>0</v>
      </c>
    </row>
    <row r="5" spans="1:5" x14ac:dyDescent="0.45">
      <c r="A5" t="s">
        <v>6</v>
      </c>
      <c r="C5" s="1">
        <v>0.9</v>
      </c>
      <c r="D5">
        <f t="shared" si="0"/>
        <v>0</v>
      </c>
      <c r="E5">
        <f t="shared" si="1"/>
        <v>0</v>
      </c>
    </row>
    <row r="6" spans="1:5" x14ac:dyDescent="0.45">
      <c r="A6" t="s">
        <v>7</v>
      </c>
      <c r="C6" s="1">
        <v>0.9</v>
      </c>
      <c r="D6">
        <f t="shared" si="0"/>
        <v>0</v>
      </c>
      <c r="E6">
        <f t="shared" si="1"/>
        <v>0</v>
      </c>
    </row>
    <row r="7" spans="1:5" x14ac:dyDescent="0.45">
      <c r="A7" t="s">
        <v>8</v>
      </c>
      <c r="C7" s="1">
        <v>0.9</v>
      </c>
      <c r="D7">
        <f t="shared" si="0"/>
        <v>0</v>
      </c>
      <c r="E7">
        <f t="shared" si="1"/>
        <v>0</v>
      </c>
    </row>
    <row r="8" spans="1:5" x14ac:dyDescent="0.45">
      <c r="A8" t="s">
        <v>8</v>
      </c>
      <c r="C8" s="1">
        <v>0.9</v>
      </c>
      <c r="D8">
        <f t="shared" si="0"/>
        <v>0</v>
      </c>
      <c r="E8">
        <f t="shared" si="1"/>
        <v>0</v>
      </c>
    </row>
    <row r="9" spans="1:5" x14ac:dyDescent="0.45">
      <c r="A9" t="s">
        <v>8</v>
      </c>
      <c r="C9" s="1">
        <v>0.9</v>
      </c>
      <c r="D9">
        <f t="shared" si="0"/>
        <v>0</v>
      </c>
      <c r="E9">
        <f t="shared" si="1"/>
        <v>0</v>
      </c>
    </row>
    <row r="10" spans="1:5" x14ac:dyDescent="0.45">
      <c r="A10" t="s">
        <v>8</v>
      </c>
      <c r="C10" s="1">
        <v>0.9</v>
      </c>
      <c r="D10">
        <f t="shared" si="0"/>
        <v>0</v>
      </c>
      <c r="E10">
        <f t="shared" si="1"/>
        <v>0</v>
      </c>
    </row>
    <row r="11" spans="1:5" x14ac:dyDescent="0.45">
      <c r="A11" t="s">
        <v>8</v>
      </c>
      <c r="C11" s="1">
        <v>0.9</v>
      </c>
      <c r="D11">
        <f t="shared" si="0"/>
        <v>0</v>
      </c>
      <c r="E11">
        <f t="shared" si="1"/>
        <v>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E959B-7EC5-4E08-922F-2572B811602D}">
  <dimension ref="A1:E11"/>
  <sheetViews>
    <sheetView workbookViewId="0">
      <selection sqref="A1:A1048576"/>
    </sheetView>
  </sheetViews>
  <sheetFormatPr defaultRowHeight="18" x14ac:dyDescent="0.45"/>
  <cols>
    <col min="1" max="1" width="22.296875" customWidth="1"/>
    <col min="2" max="3" width="19.8984375" customWidth="1"/>
    <col min="4" max="4" width="26.19921875" customWidth="1"/>
    <col min="5" max="5" width="23.69921875" customWidth="1"/>
  </cols>
  <sheetData>
    <row r="1" spans="1:5" x14ac:dyDescent="0.45">
      <c r="A1" t="s">
        <v>0</v>
      </c>
      <c r="B1" t="s">
        <v>10</v>
      </c>
      <c r="C1" t="s">
        <v>9</v>
      </c>
      <c r="D1" t="s">
        <v>1</v>
      </c>
      <c r="E1" t="s">
        <v>2</v>
      </c>
    </row>
    <row r="2" spans="1:5" x14ac:dyDescent="0.45">
      <c r="A2" t="s">
        <v>3</v>
      </c>
      <c r="B2">
        <v>10000</v>
      </c>
      <c r="C2" s="1">
        <v>0.9</v>
      </c>
      <c r="D2">
        <f>B2*C2</f>
        <v>9000</v>
      </c>
      <c r="E2">
        <f>B2-D2</f>
        <v>1000</v>
      </c>
    </row>
    <row r="3" spans="1:5" x14ac:dyDescent="0.45">
      <c r="A3" t="s">
        <v>4</v>
      </c>
      <c r="C3" s="1">
        <v>0.9</v>
      </c>
      <c r="D3">
        <f t="shared" ref="D3:D11" si="0">B3*C3</f>
        <v>0</v>
      </c>
      <c r="E3">
        <f t="shared" ref="E3:E11" si="1">B3-D3</f>
        <v>0</v>
      </c>
    </row>
    <row r="4" spans="1:5" x14ac:dyDescent="0.45">
      <c r="A4" t="s">
        <v>5</v>
      </c>
      <c r="C4" s="1">
        <v>0.9</v>
      </c>
      <c r="D4">
        <f t="shared" si="0"/>
        <v>0</v>
      </c>
      <c r="E4">
        <f t="shared" si="1"/>
        <v>0</v>
      </c>
    </row>
    <row r="5" spans="1:5" x14ac:dyDescent="0.45">
      <c r="A5" t="s">
        <v>6</v>
      </c>
      <c r="C5" s="1">
        <v>0.9</v>
      </c>
      <c r="D5">
        <f t="shared" si="0"/>
        <v>0</v>
      </c>
      <c r="E5">
        <f t="shared" si="1"/>
        <v>0</v>
      </c>
    </row>
    <row r="6" spans="1:5" x14ac:dyDescent="0.45">
      <c r="A6" t="s">
        <v>7</v>
      </c>
      <c r="C6" s="1">
        <v>0.9</v>
      </c>
      <c r="D6">
        <f t="shared" si="0"/>
        <v>0</v>
      </c>
      <c r="E6">
        <f t="shared" si="1"/>
        <v>0</v>
      </c>
    </row>
    <row r="7" spans="1:5" x14ac:dyDescent="0.45">
      <c r="A7" t="s">
        <v>8</v>
      </c>
      <c r="C7" s="1">
        <v>0.9</v>
      </c>
      <c r="D7">
        <f t="shared" si="0"/>
        <v>0</v>
      </c>
      <c r="E7">
        <f t="shared" si="1"/>
        <v>0</v>
      </c>
    </row>
    <row r="8" spans="1:5" x14ac:dyDescent="0.45">
      <c r="A8" t="s">
        <v>8</v>
      </c>
      <c r="C8" s="1">
        <v>0.9</v>
      </c>
      <c r="D8">
        <f t="shared" si="0"/>
        <v>0</v>
      </c>
      <c r="E8">
        <f t="shared" si="1"/>
        <v>0</v>
      </c>
    </row>
    <row r="9" spans="1:5" x14ac:dyDescent="0.45">
      <c r="A9" t="s">
        <v>8</v>
      </c>
      <c r="C9" s="1">
        <v>0.9</v>
      </c>
      <c r="D9">
        <f t="shared" si="0"/>
        <v>0</v>
      </c>
      <c r="E9">
        <f t="shared" si="1"/>
        <v>0</v>
      </c>
    </row>
    <row r="10" spans="1:5" x14ac:dyDescent="0.45">
      <c r="A10" t="s">
        <v>8</v>
      </c>
      <c r="C10" s="1">
        <v>0.9</v>
      </c>
      <c r="D10">
        <f t="shared" si="0"/>
        <v>0</v>
      </c>
      <c r="E10">
        <f t="shared" si="1"/>
        <v>0</v>
      </c>
    </row>
    <row r="11" spans="1:5" x14ac:dyDescent="0.45">
      <c r="A11" t="s">
        <v>8</v>
      </c>
      <c r="C11" s="1">
        <v>0.9</v>
      </c>
      <c r="D11">
        <f t="shared" si="0"/>
        <v>0</v>
      </c>
      <c r="E11">
        <f t="shared" si="1"/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02BFB-EEC7-4AEC-9D6D-A51A89B905A4}">
  <dimension ref="A1:E11"/>
  <sheetViews>
    <sheetView workbookViewId="0">
      <selection activeCell="C2" sqref="C2"/>
    </sheetView>
  </sheetViews>
  <sheetFormatPr defaultRowHeight="18" x14ac:dyDescent="0.45"/>
  <cols>
    <col min="1" max="1" width="22.296875" customWidth="1"/>
    <col min="2" max="3" width="19.8984375" customWidth="1"/>
    <col min="4" max="4" width="26.19921875" customWidth="1"/>
    <col min="5" max="5" width="23.69921875" customWidth="1"/>
  </cols>
  <sheetData>
    <row r="1" spans="1:5" x14ac:dyDescent="0.45">
      <c r="A1" t="s">
        <v>0</v>
      </c>
      <c r="B1" t="s">
        <v>10</v>
      </c>
      <c r="C1" t="s">
        <v>9</v>
      </c>
      <c r="D1" t="s">
        <v>1</v>
      </c>
      <c r="E1" t="s">
        <v>2</v>
      </c>
    </row>
    <row r="2" spans="1:5" x14ac:dyDescent="0.45">
      <c r="A2" t="s">
        <v>3</v>
      </c>
      <c r="B2">
        <v>10000</v>
      </c>
      <c r="C2" s="1">
        <v>0.9</v>
      </c>
      <c r="D2">
        <f>B2*C2</f>
        <v>9000</v>
      </c>
      <c r="E2">
        <f>B2-D2</f>
        <v>1000</v>
      </c>
    </row>
    <row r="3" spans="1:5" x14ac:dyDescent="0.45">
      <c r="A3" t="s">
        <v>4</v>
      </c>
      <c r="C3" s="1">
        <v>0.9</v>
      </c>
      <c r="D3">
        <f t="shared" ref="D3:D11" si="0">B3*C3</f>
        <v>0</v>
      </c>
      <c r="E3">
        <f t="shared" ref="E3:E11" si="1">B3-D3</f>
        <v>0</v>
      </c>
    </row>
    <row r="4" spans="1:5" x14ac:dyDescent="0.45">
      <c r="A4" t="s">
        <v>5</v>
      </c>
      <c r="C4" s="1">
        <v>0.9</v>
      </c>
      <c r="D4">
        <f t="shared" si="0"/>
        <v>0</v>
      </c>
      <c r="E4">
        <f t="shared" si="1"/>
        <v>0</v>
      </c>
    </row>
    <row r="5" spans="1:5" x14ac:dyDescent="0.45">
      <c r="A5" t="s">
        <v>6</v>
      </c>
      <c r="C5" s="1">
        <v>0.9</v>
      </c>
      <c r="D5">
        <f t="shared" si="0"/>
        <v>0</v>
      </c>
      <c r="E5">
        <f t="shared" si="1"/>
        <v>0</v>
      </c>
    </row>
    <row r="6" spans="1:5" x14ac:dyDescent="0.45">
      <c r="A6" t="s">
        <v>7</v>
      </c>
      <c r="C6" s="1">
        <v>0.9</v>
      </c>
      <c r="D6">
        <f t="shared" si="0"/>
        <v>0</v>
      </c>
      <c r="E6">
        <f t="shared" si="1"/>
        <v>0</v>
      </c>
    </row>
    <row r="7" spans="1:5" x14ac:dyDescent="0.45">
      <c r="A7" t="s">
        <v>8</v>
      </c>
      <c r="C7" s="1">
        <v>0.9</v>
      </c>
      <c r="D7">
        <f t="shared" si="0"/>
        <v>0</v>
      </c>
      <c r="E7">
        <f t="shared" si="1"/>
        <v>0</v>
      </c>
    </row>
    <row r="8" spans="1:5" x14ac:dyDescent="0.45">
      <c r="A8" t="s">
        <v>8</v>
      </c>
      <c r="C8" s="1">
        <v>0.9</v>
      </c>
      <c r="D8">
        <f t="shared" si="0"/>
        <v>0</v>
      </c>
      <c r="E8">
        <f t="shared" si="1"/>
        <v>0</v>
      </c>
    </row>
    <row r="9" spans="1:5" x14ac:dyDescent="0.45">
      <c r="A9" t="s">
        <v>8</v>
      </c>
      <c r="C9" s="1">
        <v>0.9</v>
      </c>
      <c r="D9">
        <f t="shared" si="0"/>
        <v>0</v>
      </c>
      <c r="E9">
        <f t="shared" si="1"/>
        <v>0</v>
      </c>
    </row>
    <row r="10" spans="1:5" x14ac:dyDescent="0.45">
      <c r="A10" t="s">
        <v>8</v>
      </c>
      <c r="C10" s="1">
        <v>0.9</v>
      </c>
      <c r="D10">
        <f t="shared" si="0"/>
        <v>0</v>
      </c>
      <c r="E10">
        <f t="shared" si="1"/>
        <v>0</v>
      </c>
    </row>
    <row r="11" spans="1:5" x14ac:dyDescent="0.45">
      <c r="A11" t="s">
        <v>8</v>
      </c>
      <c r="C11" s="1">
        <v>0.9</v>
      </c>
      <c r="D11">
        <f t="shared" si="0"/>
        <v>0</v>
      </c>
      <c r="E11">
        <f t="shared" si="1"/>
        <v>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2024年度全社廃棄物集計データ</vt:lpstr>
      <vt:lpstr>2024年度建築廃棄物集計データ</vt:lpstr>
      <vt:lpstr>2024年度土木廃棄物集計データ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udagawa 宇田川 湧人</dc:creator>
  <cp:lastModifiedBy>udagawa 宇田川 湧人</cp:lastModifiedBy>
  <dcterms:created xsi:type="dcterms:W3CDTF">2025-12-16T04:38:32Z</dcterms:created>
  <dcterms:modified xsi:type="dcterms:W3CDTF">2025-12-16T05:04:24Z</dcterms:modified>
</cp:coreProperties>
</file>